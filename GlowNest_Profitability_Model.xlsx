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Scenario Explorer" sheetId="2" state="visible" r:id="rId2"/>
    <sheet name="Chart Data &amp; Vi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%"/>
    <numFmt numFmtId="166" formatCode="₹#,##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4E79"/>
      <sz val="11"/>
    </font>
    <font>
      <name val="Segoe UI"/>
      <sz val="11"/>
    </font>
    <font>
      <name val="Segoe UI"/>
      <b val="1"/>
      <sz val="11"/>
    </font>
    <font>
      <name val="Segoe UI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0" borderId="1" pivotButton="0" quotePrefix="0" xfId="0"/>
    <xf numFmtId="164" fontId="4" fillId="4" borderId="1" applyAlignment="1" pivotButton="0" quotePrefix="0" xfId="0">
      <alignment horizontal="right"/>
    </xf>
    <xf numFmtId="0" fontId="5" fillId="0" borderId="1" pivotButton="0" quotePrefix="0" xfId="0"/>
    <xf numFmtId="165" fontId="4" fillId="4" borderId="1" applyAlignment="1" pivotButton="0" quotePrefix="0" xfId="0">
      <alignment horizontal="right"/>
    </xf>
    <xf numFmtId="166" fontId="4" fillId="4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4" fillId="0" borderId="1" pivotButton="0" quotePrefix="0" xfId="0"/>
    <xf numFmtId="166" fontId="4" fillId="5" borderId="2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4" fillId="6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166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0" fontId="2" fillId="3" borderId="0" pivotButton="0" quotePrefix="0" xfId="0"/>
    <xf numFmtId="164" fontId="3" fillId="0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</cellXfs>
  <cellStyles count="1">
    <cellStyle name="Normal" xfId="0" builtinId="0" hidden="0"/>
  </cellStyles>
  <dxfs count="2">
    <dxf>
      <font>
        <name val="Segoe UI"/>
        <b val="1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Segoe UI"/>
        <b val="1"/>
        <color rgb="009C6500"/>
        <sz val="11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Effect of Ad Spend on Total Monthly Profit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 &amp; Viz'!B3</f>
            </strRef>
          </tx>
          <spPr>
            <a:ln w="30000">
              <a:solidFill>
                <a:srgbClr val="1F4E7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Data &amp; Viz'!$A$4:$A$16</f>
            </numRef>
          </cat>
          <val>
            <numRef>
              <f>'Chart Data &amp; Viz'!$B$4:$B$16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Ad Spend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Profit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 ht="40" customHeight="1">
      <c r="A1" s="1" t="inlineStr">
        <is>
          <t>GlowNest Amazon Campaign Profitability Calculator</t>
        </is>
      </c>
    </row>
    <row r="3" ht="24" customHeight="1">
      <c r="A3" s="2" t="inlineStr">
        <is>
          <t>INPUT SECTION (Editable)</t>
        </is>
      </c>
    </row>
    <row r="4" ht="20" customHeight="1">
      <c r="A4" s="3" t="inlineStr">
        <is>
          <t>Selling Price (SP)</t>
        </is>
      </c>
      <c r="B4" s="4" t="n">
        <v>800</v>
      </c>
      <c r="C4" s="5" t="inlineStr">
        <is>
          <t>Customer retail listing price on Amazon India</t>
        </is>
      </c>
    </row>
    <row r="5" ht="20" customHeight="1">
      <c r="A5" s="3" t="inlineStr">
        <is>
          <t>Cost of Goods Sold (COGS)</t>
        </is>
      </c>
      <c r="B5" s="4" t="n">
        <v>280</v>
      </c>
      <c r="C5" s="5" t="inlineStr">
        <is>
          <t>Manufacturing + shipping to Amazon warehouse</t>
        </is>
      </c>
    </row>
    <row r="6" ht="20" customHeight="1">
      <c r="A6" s="3" t="inlineStr">
        <is>
          <t>Amazon Referral Fee (%)</t>
        </is>
      </c>
      <c r="B6" s="6" t="n">
        <v>0.12</v>
      </c>
      <c r="C6" s="5" t="inlineStr">
        <is>
          <t>Category commission fee charged by Amazon</t>
        </is>
      </c>
    </row>
    <row r="7" ht="20" customHeight="1">
      <c r="A7" s="3" t="inlineStr">
        <is>
          <t>Monthly Ad Spend</t>
        </is>
      </c>
      <c r="B7" s="7" t="n">
        <v>300000</v>
      </c>
      <c r="C7" s="5" t="inlineStr">
        <is>
          <t>Total advertising budget allocated for the month</t>
        </is>
      </c>
    </row>
    <row r="8" ht="20" customHeight="1">
      <c r="A8" s="3" t="inlineStr">
        <is>
          <t>Units Sold via Ads</t>
        </is>
      </c>
      <c r="B8" s="8" t="n">
        <v>1500</v>
      </c>
      <c r="C8" s="5" t="inlineStr">
        <is>
          <t>Total volume of sales attributed directly to ads</t>
        </is>
      </c>
    </row>
    <row r="9" ht="20" customHeight="1">
      <c r="A9" s="3" t="inlineStr">
        <is>
          <t>Organic Units Sold</t>
        </is>
      </c>
      <c r="B9" s="8" t="n">
        <v>2000</v>
      </c>
      <c r="C9" s="5" t="inlineStr">
        <is>
          <t>Total volume of sales generated from search engine rankings</t>
        </is>
      </c>
    </row>
    <row r="10" ht="20" customHeight="1">
      <c r="A10" s="3" t="inlineStr">
        <is>
          <t>Fixed Costs (monthly)</t>
        </is>
      </c>
      <c r="B10" s="7" t="n">
        <v>150000</v>
      </c>
      <c r="C10" s="5" t="inlineStr">
        <is>
          <t>Warehousing, team payroll, software subscriptions</t>
        </is>
      </c>
    </row>
    <row r="12" ht="24" customHeight="1">
      <c r="A12" s="2" t="inlineStr">
        <is>
          <t>OUTPUT SECTION (Auto-Calculated)</t>
        </is>
      </c>
    </row>
    <row r="13" ht="20" customHeight="1">
      <c r="A13" s="3" t="inlineStr">
        <is>
          <t>Gross Margin per Unit</t>
        </is>
      </c>
      <c r="B13" s="9">
        <f>B4-B5</f>
        <v/>
      </c>
      <c r="C13" s="5">
        <f> SP - COGS</f>
        <v/>
      </c>
    </row>
    <row r="14" ht="20" customHeight="1">
      <c r="A14" s="3" t="inlineStr">
        <is>
          <t>Amazon Fee per Unit</t>
        </is>
      </c>
      <c r="B14" s="9">
        <f>B4*B6</f>
        <v/>
      </c>
      <c r="C14" s="5">
        <f> SP * Fee %</f>
        <v/>
      </c>
    </row>
    <row r="15" ht="20" customHeight="1">
      <c r="A15" s="3" t="inlineStr">
        <is>
          <t>Ad Cost per Unit</t>
        </is>
      </c>
      <c r="B15" s="9">
        <f>B7/B8</f>
        <v/>
      </c>
      <c r="C15" s="5">
        <f> Ad Spend / Ad Units</f>
        <v/>
      </c>
    </row>
    <row r="16" ht="20" customHeight="1">
      <c r="A16" s="3" t="inlineStr">
        <is>
          <t>Net Margin (Ad Units)</t>
        </is>
      </c>
      <c r="B16" s="9">
        <f>B13-B14-B15</f>
        <v/>
      </c>
      <c r="C16" s="5">
        <f> Gross Margin - Amazon Fee - Ad Cost per Unit</f>
        <v/>
      </c>
    </row>
    <row r="17" ht="20" customHeight="1">
      <c r="A17" s="3" t="inlineStr">
        <is>
          <t>Net Margin (Organic Units)</t>
        </is>
      </c>
      <c r="B17" s="9">
        <f>B13-B14</f>
        <v/>
      </c>
      <c r="C17" s="5">
        <f> Gross Margin - Amazon Fee</f>
        <v/>
      </c>
    </row>
    <row r="18" ht="20" customHeight="1">
      <c r="A18" s="3" t="inlineStr">
        <is>
          <t>Total Monthly Revenue</t>
        </is>
      </c>
      <c r="B18" s="10">
        <f>B4*(B8+B9)</f>
        <v/>
      </c>
      <c r="C18" s="5">
        <f> SP * (Ad Units + Organic Units)</f>
        <v/>
      </c>
    </row>
    <row r="19" ht="20" customHeight="1">
      <c r="A19" s="11" t="inlineStr">
        <is>
          <t>Total Monthly Profit</t>
        </is>
      </c>
      <c r="B19" s="12">
        <f>(B16*B8)+(B17*B9)-B10</f>
        <v/>
      </c>
      <c r="C19" s="5">
        <f> (Net Margin Ad * Ad Units) + (Net Margin Org * Org Units) - Fixed Costs</f>
        <v/>
      </c>
    </row>
    <row r="20" ht="20" customHeight="1">
      <c r="A20" s="3" t="inlineStr">
        <is>
          <t>ACOS</t>
        </is>
      </c>
      <c r="B20" s="13">
        <f>B7/(B4*B8)</f>
        <v/>
      </c>
      <c r="C20" s="5">
        <f> Ad Spend / Ad Revenue</f>
        <v/>
      </c>
    </row>
    <row r="21" ht="20" customHeight="1">
      <c r="A21" s="3" t="inlineStr">
        <is>
          <t>TACOS</t>
        </is>
      </c>
      <c r="B21" s="14">
        <f>B7/B18</f>
        <v/>
      </c>
      <c r="C21" s="5">
        <f> Ad Spend / Total Revenue</f>
        <v/>
      </c>
    </row>
    <row r="22" ht="20" customHeight="1">
      <c r="A22" s="11" t="inlineStr">
        <is>
          <t>Break-Even Ad Spend</t>
        </is>
      </c>
      <c r="B22" s="15">
        <f>B17*(B8+B9)-B10</f>
        <v/>
      </c>
      <c r="C22" s="5" t="inlineStr">
        <is>
          <t>Total contribution margin minus fixed costs</t>
        </is>
      </c>
    </row>
  </sheetData>
  <mergeCells count="3">
    <mergeCell ref="A1:C1"/>
    <mergeCell ref="A3:C3"/>
    <mergeCell ref="A12:C12"/>
  </mergeCells>
  <conditionalFormatting sqref="B19">
    <cfRule type="cellIs" priority="1" operator="lessThan" dxfId="0" stopIfTrue="1">
      <formula>0</formula>
    </cfRule>
  </conditionalFormatting>
  <conditionalFormatting sqref="B21">
    <cfRule type="cellIs" priority="2" operator="greaterThan" dxfId="1" stopIfTrue="1">
      <formula>0.15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40" customHeight="1">
      <c r="A1" s="1" t="inlineStr">
        <is>
          <t>Scenario Analysis (Answers to Model Exploration)</t>
        </is>
      </c>
    </row>
    <row r="3" ht="24" customHeight="1">
      <c r="A3" s="16" t="inlineStr">
        <is>
          <t>Metric</t>
        </is>
      </c>
      <c r="B3" s="16" t="inlineStr">
        <is>
          <t>Base Case</t>
        </is>
      </c>
      <c r="C3" s="16" t="inlineStr">
        <is>
          <t>Price Sensitivity</t>
        </is>
      </c>
      <c r="D3" s="16" t="inlineStr">
        <is>
          <t>Cost Pressure</t>
        </is>
      </c>
      <c r="E3" s="16" t="inlineStr">
        <is>
          <t>Organic Growth</t>
        </is>
      </c>
      <c r="F3" s="16" t="inlineStr">
        <is>
          <t>Category Shift</t>
        </is>
      </c>
    </row>
    <row r="4" ht="20" customHeight="1">
      <c r="A4" s="3" t="inlineStr">
        <is>
          <t>Selling Price (SP)</t>
        </is>
      </c>
      <c r="B4" s="17" t="n">
        <v>800</v>
      </c>
      <c r="C4" s="17" t="n">
        <v>950</v>
      </c>
      <c r="D4" s="17" t="n">
        <v>800</v>
      </c>
      <c r="E4" s="17" t="n">
        <v>800</v>
      </c>
      <c r="F4" s="17" t="n">
        <v>700</v>
      </c>
    </row>
    <row r="5" ht="20" customHeight="1">
      <c r="A5" s="3" t="inlineStr">
        <is>
          <t>COGS</t>
        </is>
      </c>
      <c r="B5" s="17" t="n">
        <v>280</v>
      </c>
      <c r="C5" s="17" t="n">
        <v>280</v>
      </c>
      <c r="D5" s="17" t="n">
        <v>336</v>
      </c>
      <c r="E5" s="17" t="n">
        <v>280</v>
      </c>
      <c r="F5" s="17" t="n">
        <v>280</v>
      </c>
    </row>
    <row r="6" ht="20" customHeight="1">
      <c r="A6" s="3" t="inlineStr">
        <is>
          <t>Amazon Referral Fee (%)</t>
        </is>
      </c>
      <c r="B6" s="18" t="n">
        <v>0.12</v>
      </c>
      <c r="C6" s="18" t="n">
        <v>0.12</v>
      </c>
      <c r="D6" s="18" t="n">
        <v>0.12</v>
      </c>
      <c r="E6" s="18" t="n">
        <v>0.12</v>
      </c>
      <c r="F6" s="18" t="n">
        <v>0.12</v>
      </c>
    </row>
    <row r="7" ht="20" customHeight="1">
      <c r="A7" s="3" t="inlineStr">
        <is>
          <t>Monthly Ad Spend</t>
        </is>
      </c>
      <c r="B7" s="19" t="n">
        <v>300000</v>
      </c>
      <c r="C7" s="19" t="n">
        <v>300000</v>
      </c>
      <c r="D7" s="19" t="n">
        <v>300000</v>
      </c>
      <c r="E7" s="19" t="n">
        <v>300000</v>
      </c>
      <c r="F7" s="19" t="n">
        <v>300000</v>
      </c>
    </row>
    <row r="8" ht="20" customHeight="1">
      <c r="A8" s="3" t="inlineStr">
        <is>
          <t>Units Sold via Ads</t>
        </is>
      </c>
      <c r="B8" s="19" t="n">
        <v>1500</v>
      </c>
      <c r="C8" s="19" t="n">
        <v>1500</v>
      </c>
      <c r="D8" s="19" t="n">
        <v>1500</v>
      </c>
      <c r="E8" s="19" t="n">
        <v>1500</v>
      </c>
      <c r="F8" s="19" t="n">
        <v>1500</v>
      </c>
    </row>
    <row r="9" ht="20" customHeight="1">
      <c r="A9" s="3" t="inlineStr">
        <is>
          <t>Organic Units Sold</t>
        </is>
      </c>
      <c r="B9" s="19" t="n">
        <v>2000</v>
      </c>
      <c r="C9" s="19" t="n">
        <v>2000</v>
      </c>
      <c r="D9" s="19" t="n">
        <v>2000</v>
      </c>
      <c r="E9" s="19" t="n">
        <v>3500</v>
      </c>
      <c r="F9" s="19" t="n">
        <v>2000</v>
      </c>
    </row>
    <row r="10" ht="20" customHeight="1">
      <c r="A10" s="3" t="inlineStr">
        <is>
          <t>Fixed Costs (monthly)</t>
        </is>
      </c>
      <c r="B10" s="17" t="n">
        <v>150000</v>
      </c>
      <c r="C10" s="17" t="n">
        <v>150000</v>
      </c>
      <c r="D10" s="17" t="n">
        <v>150000</v>
      </c>
      <c r="E10" s="17" t="n">
        <v>150000</v>
      </c>
      <c r="F10" s="17" t="n">
        <v>150000</v>
      </c>
    </row>
    <row r="11" ht="24" customHeight="1">
      <c r="A11" s="20" t="inlineStr">
        <is>
          <t>Calculated Outputs</t>
        </is>
      </c>
    </row>
    <row r="12" ht="20" customHeight="1">
      <c r="A12" s="3" t="inlineStr">
        <is>
          <t>Gross Margin per Unit</t>
        </is>
      </c>
      <c r="B12" s="21">
        <f>B4-B5</f>
        <v/>
      </c>
      <c r="C12" s="21">
        <f>C4-C5</f>
        <v/>
      </c>
      <c r="D12" s="21">
        <f>D4-D5</f>
        <v/>
      </c>
      <c r="E12" s="21">
        <f>E4-E5</f>
        <v/>
      </c>
      <c r="F12" s="21">
        <f>F4-F5</f>
        <v/>
      </c>
    </row>
    <row r="13" ht="20" customHeight="1">
      <c r="A13" s="3" t="inlineStr">
        <is>
          <t>Amazon Fee per Unit</t>
        </is>
      </c>
      <c r="B13" s="21">
        <f>B4*B6</f>
        <v/>
      </c>
      <c r="C13" s="21">
        <f>C4*C6</f>
        <v/>
      </c>
      <c r="D13" s="21">
        <f>D4*D6</f>
        <v/>
      </c>
      <c r="E13" s="21">
        <f>E4*E6</f>
        <v/>
      </c>
      <c r="F13" s="21">
        <f>F4*F6</f>
        <v/>
      </c>
    </row>
    <row r="14" ht="20" customHeight="1">
      <c r="A14" s="3" t="inlineStr">
        <is>
          <t>Ad Cost per Unit</t>
        </is>
      </c>
      <c r="B14" s="21">
        <f>B7/B8</f>
        <v/>
      </c>
      <c r="C14" s="21">
        <f>C7/C8</f>
        <v/>
      </c>
      <c r="D14" s="21">
        <f>D7/D8</f>
        <v/>
      </c>
      <c r="E14" s="21">
        <f>E7/E8</f>
        <v/>
      </c>
      <c r="F14" s="21">
        <f>F7/F8</f>
        <v/>
      </c>
    </row>
    <row r="15" ht="20" customHeight="1">
      <c r="A15" s="3" t="inlineStr">
        <is>
          <t>Net Margin (Ad Units)</t>
        </is>
      </c>
      <c r="B15" s="21">
        <f>B12-B13-B14</f>
        <v/>
      </c>
      <c r="C15" s="21">
        <f>C12-C13-C14</f>
        <v/>
      </c>
      <c r="D15" s="21">
        <f>D12-D13-D14</f>
        <v/>
      </c>
      <c r="E15" s="21">
        <f>E12-E13-E14</f>
        <v/>
      </c>
      <c r="F15" s="21">
        <f>F12-F13-F14</f>
        <v/>
      </c>
    </row>
    <row r="16" ht="20" customHeight="1">
      <c r="A16" s="3" t="inlineStr">
        <is>
          <t>Net Margin (Organic Units)</t>
        </is>
      </c>
      <c r="B16" s="21">
        <f>B12-B13</f>
        <v/>
      </c>
      <c r="C16" s="21">
        <f>C12-C13</f>
        <v/>
      </c>
      <c r="D16" s="21">
        <f>D12-D13</f>
        <v/>
      </c>
      <c r="E16" s="21">
        <f>E12-E13</f>
        <v/>
      </c>
      <c r="F16" s="21">
        <f>F12-F13</f>
        <v/>
      </c>
    </row>
    <row r="17" ht="20" customHeight="1">
      <c r="A17" s="3" t="inlineStr">
        <is>
          <t>Total Monthly Revenue</t>
        </is>
      </c>
      <c r="B17" s="17">
        <f>B4*(B8+B9)</f>
        <v/>
      </c>
      <c r="C17" s="17">
        <f>C4*(C8+C9)</f>
        <v/>
      </c>
      <c r="D17" s="17">
        <f>D4*(D8+D9)</f>
        <v/>
      </c>
      <c r="E17" s="17">
        <f>E4*(E8+E9)</f>
        <v/>
      </c>
      <c r="F17" s="17">
        <f>F4*(F8+F9)</f>
        <v/>
      </c>
    </row>
    <row r="18" ht="20" customHeight="1">
      <c r="A18" s="3" t="inlineStr">
        <is>
          <t>Total Monthly Profit</t>
        </is>
      </c>
      <c r="B18" s="12">
        <f>(B15*B8)+(B16*B9)-B10</f>
        <v/>
      </c>
      <c r="C18" s="12">
        <f>(C15*C8)+(C16*C9)-C10</f>
        <v/>
      </c>
      <c r="D18" s="12">
        <f>(D15*D8)+(D16*D9)-D10</f>
        <v/>
      </c>
      <c r="E18" s="12">
        <f>(E15*E8)+(E16*E9)-E10</f>
        <v/>
      </c>
      <c r="F18" s="12">
        <f>(F15*F8)+(F16*F9)-F10</f>
        <v/>
      </c>
    </row>
    <row r="19" ht="20" customHeight="1">
      <c r="A19" s="3" t="inlineStr">
        <is>
          <t>ACOS</t>
        </is>
      </c>
      <c r="B19" s="18">
        <f>B7/(B4*B8)</f>
        <v/>
      </c>
      <c r="C19" s="18">
        <f>C7/(C4*C8)</f>
        <v/>
      </c>
      <c r="D19" s="18">
        <f>D7/(D4*D8)</f>
        <v/>
      </c>
      <c r="E19" s="18">
        <f>E7/(E4*E8)</f>
        <v/>
      </c>
      <c r="F19" s="18">
        <f>F7/(F4*F8)</f>
        <v/>
      </c>
    </row>
    <row r="20" ht="20" customHeight="1">
      <c r="A20" s="3" t="inlineStr">
        <is>
          <t>TACOS</t>
        </is>
      </c>
      <c r="B20" s="14">
        <f>B7/B17</f>
        <v/>
      </c>
      <c r="C20" s="14">
        <f>C7/C17</f>
        <v/>
      </c>
      <c r="D20" s="14">
        <f>D7/D17</f>
        <v/>
      </c>
      <c r="E20" s="14">
        <f>E7/E17</f>
        <v/>
      </c>
      <c r="F20" s="14">
        <f>F7/F17</f>
        <v/>
      </c>
    </row>
    <row r="21" ht="20" customHeight="1">
      <c r="A21" s="3" t="inlineStr">
        <is>
          <t>Break-Even Ad Spend</t>
        </is>
      </c>
      <c r="B21" s="22">
        <f>B16*(B8+B9)-B10</f>
        <v/>
      </c>
      <c r="C21" s="22">
        <f>C16*(C8+C9)-C10</f>
        <v/>
      </c>
      <c r="D21" s="22">
        <f>D16*(D8+D9)-D10</f>
        <v/>
      </c>
      <c r="E21" s="22">
        <f>E16*(E8+E9)-E10</f>
        <v/>
      </c>
      <c r="F21" s="22">
        <f>F16*(F8+F9)-F10</f>
        <v/>
      </c>
    </row>
  </sheetData>
  <mergeCells count="2">
    <mergeCell ref="A11:F11"/>
    <mergeCell ref="A1:F1"/>
  </mergeCells>
  <conditionalFormatting sqref="B18">
    <cfRule type="cellIs" priority="1" operator="lessThan" dxfId="0" stopIfTrue="1">
      <formula>0</formula>
    </cfRule>
  </conditionalFormatting>
  <conditionalFormatting sqref="B20">
    <cfRule type="cellIs" priority="2" operator="greaterThan" dxfId="1" stopIfTrue="1">
      <formula>0.15</formula>
    </cfRule>
  </conditionalFormatting>
  <conditionalFormatting sqref="C18">
    <cfRule type="cellIs" priority="3" operator="lessThan" dxfId="0" stopIfTrue="1">
      <formula>0</formula>
    </cfRule>
  </conditionalFormatting>
  <conditionalFormatting sqref="C20">
    <cfRule type="cellIs" priority="4" operator="greaterThan" dxfId="1" stopIfTrue="1">
      <formula>0.15</formula>
    </cfRule>
  </conditionalFormatting>
  <conditionalFormatting sqref="D18">
    <cfRule type="cellIs" priority="5" operator="lessThan" dxfId="0" stopIfTrue="1">
      <formula>0</formula>
    </cfRule>
  </conditionalFormatting>
  <conditionalFormatting sqref="D20">
    <cfRule type="cellIs" priority="6" operator="greaterThan" dxfId="1" stopIfTrue="1">
      <formula>0.15</formula>
    </cfRule>
  </conditionalFormatting>
  <conditionalFormatting sqref="E18">
    <cfRule type="cellIs" priority="7" operator="lessThan" dxfId="0" stopIfTrue="1">
      <formula>0</formula>
    </cfRule>
  </conditionalFormatting>
  <conditionalFormatting sqref="E20">
    <cfRule type="cellIs" priority="8" operator="greaterThan" dxfId="1" stopIfTrue="1">
      <formula>0.15</formula>
    </cfRule>
  </conditionalFormatting>
  <conditionalFormatting sqref="F18">
    <cfRule type="cellIs" priority="9" operator="lessThan" dxfId="0" stopIfTrue="1">
      <formula>0</formula>
    </cfRule>
  </conditionalFormatting>
  <conditionalFormatting sqref="F20">
    <cfRule type="cellIs" priority="10" operator="greaterThan" dxfId="1" stopIfTrue="1">
      <formula>0.15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40" customHeight="1">
      <c r="A1" s="1" t="inlineStr">
        <is>
          <t>Ad Spend vs. Net Profit Analysis</t>
        </is>
      </c>
    </row>
    <row r="3" ht="24" customHeight="1">
      <c r="A3" s="16" t="inlineStr">
        <is>
          <t>Monthly Ad Spend</t>
        </is>
      </c>
      <c r="B3" s="16" t="inlineStr">
        <is>
          <t>Total Monthly Profit</t>
        </is>
      </c>
      <c r="C3" s="16" t="inlineStr">
        <is>
          <t>TACOS</t>
        </is>
      </c>
    </row>
    <row r="4" ht="20" customHeight="1">
      <c r="A4" s="17" t="n">
        <v>0</v>
      </c>
      <c r="B4" s="17">
        <f>Calculator!$B$17*(0+Calculator!$B$9)-A4-Calculator!$B$10</f>
        <v/>
      </c>
      <c r="C4" s="18">
        <f>A4/(Calculator!$B$4*(0+Calculator!$B$9))</f>
        <v/>
      </c>
    </row>
    <row r="5" ht="20" customHeight="1">
      <c r="A5" s="17" t="n">
        <v>50000</v>
      </c>
      <c r="B5" s="17">
        <f>Calculator!$B$17*(480+Calculator!$B$9)-A5-Calculator!$B$10</f>
        <v/>
      </c>
      <c r="C5" s="18">
        <f>A5/(Calculator!$B$4*(480+Calculator!$B$9))</f>
        <v/>
      </c>
    </row>
    <row r="6" ht="20" customHeight="1">
      <c r="A6" s="17" t="n">
        <v>100000</v>
      </c>
      <c r="B6" s="17">
        <f>Calculator!$B$17*(850+Calculator!$B$9)-A6-Calculator!$B$10</f>
        <v/>
      </c>
      <c r="C6" s="18">
        <f>A6/(Calculator!$B$4*(850+Calculator!$B$9))</f>
        <v/>
      </c>
    </row>
    <row r="7" ht="20" customHeight="1">
      <c r="A7" s="17" t="n">
        <v>150000</v>
      </c>
      <c r="B7" s="17">
        <f>Calculator!$B$17*(1100+Calculator!$B$9)-A7-Calculator!$B$10</f>
        <v/>
      </c>
      <c r="C7" s="18">
        <f>A7/(Calculator!$B$4*(1100+Calculator!$B$9))</f>
        <v/>
      </c>
    </row>
    <row r="8" ht="20" customHeight="1">
      <c r="A8" s="17" t="n">
        <v>200000</v>
      </c>
      <c r="B8" s="17">
        <f>Calculator!$B$17*(1280+Calculator!$B$9)-A8-Calculator!$B$10</f>
        <v/>
      </c>
      <c r="C8" s="18">
        <f>A8/(Calculator!$B$4*(1280+Calculator!$B$9))</f>
        <v/>
      </c>
    </row>
    <row r="9" ht="20" customHeight="1">
      <c r="A9" s="17" t="n">
        <v>250000</v>
      </c>
      <c r="B9" s="17">
        <f>Calculator!$B$17*(1400+Calculator!$B$9)-A9-Calculator!$B$10</f>
        <v/>
      </c>
      <c r="C9" s="18">
        <f>A9/(Calculator!$B$4*(1400+Calculator!$B$9))</f>
        <v/>
      </c>
    </row>
    <row r="10" ht="20" customHeight="1">
      <c r="A10" s="17" t="n">
        <v>300000</v>
      </c>
      <c r="B10" s="17">
        <f>Calculator!$B$17*(1500+Calculator!$B$9)-A10-Calculator!$B$10</f>
        <v/>
      </c>
      <c r="C10" s="18">
        <f>A10/(Calculator!$B$4*(1500+Calculator!$B$9))</f>
        <v/>
      </c>
    </row>
    <row r="11" ht="20" customHeight="1">
      <c r="A11" s="17" t="n">
        <v>400000</v>
      </c>
      <c r="B11" s="17">
        <f>Calculator!$B$17*(1680+Calculator!$B$9)-A11-Calculator!$B$10</f>
        <v/>
      </c>
      <c r="C11" s="18">
        <f>A11/(Calculator!$B$4*(1680+Calculator!$B$9))</f>
        <v/>
      </c>
    </row>
    <row r="12" ht="20" customHeight="1">
      <c r="A12" s="17" t="n">
        <v>500000</v>
      </c>
      <c r="B12" s="17">
        <f>Calculator!$B$17*(2100+Calculator!$B$9)-A12-Calculator!$B$10</f>
        <v/>
      </c>
      <c r="C12" s="18">
        <f>A12/(Calculator!$B$4*(2100+Calculator!$B$9))</f>
        <v/>
      </c>
    </row>
    <row r="13" ht="20" customHeight="1">
      <c r="A13" s="17" t="n">
        <v>600000</v>
      </c>
      <c r="B13" s="17">
        <f>Calculator!$B$17*(2500+Calculator!$B$9)-A13-Calculator!$B$10</f>
        <v/>
      </c>
      <c r="C13" s="18">
        <f>A13/(Calculator!$B$4*(2500+Calculator!$B$9))</f>
        <v/>
      </c>
    </row>
    <row r="14" ht="20" customHeight="1">
      <c r="A14" s="17" t="n">
        <v>750000</v>
      </c>
      <c r="B14" s="17">
        <f>Calculator!$B$17*(2750+Calculator!$B$9)-A14-Calculator!$B$10</f>
        <v/>
      </c>
      <c r="C14" s="18">
        <f>A14/(Calculator!$B$4*(2750+Calculator!$B$9))</f>
        <v/>
      </c>
    </row>
    <row r="15" ht="20" customHeight="1">
      <c r="A15" s="17" t="n">
        <v>900000</v>
      </c>
      <c r="B15" s="17">
        <f>Calculator!$B$17*(2900+Calculator!$B$9)-A15-Calculator!$B$10</f>
        <v/>
      </c>
      <c r="C15" s="18">
        <f>A15/(Calculator!$B$4*(2900+Calculator!$B$9))</f>
        <v/>
      </c>
    </row>
    <row r="16" ht="20" customHeight="1">
      <c r="A16" s="17" t="n">
        <v>1200000</v>
      </c>
      <c r="B16" s="17">
        <f>Calculator!$B$17*(3100+Calculator!$B$9)-A16-Calculator!$B$10</f>
        <v/>
      </c>
      <c r="C16" s="18">
        <f>A16/(Calculator!$B$4*(3100+Calculator!$B$9))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2026-05-28T00:09:48Z</dcterms:created>
  <dcterms:modified xsi:type="dcterms:W3CDTF">2026-05-28T00:09:48Z</dcterms:modified>
</cp:coreProperties>
</file>